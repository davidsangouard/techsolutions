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color rgb="00CC0000"/>
      <sz val="16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CC0000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FE6E6"/>
        <bgColor rgb="00FFE6E6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left style="medium">
        <color rgb="00CC0000"/>
      </left>
      <right style="medium">
        <color rgb="00CC0000"/>
      </right>
      <top style="medium">
        <color rgb="00CC0000"/>
      </top>
      <bottom style="medium">
        <color rgb="00CC0000"/>
      </bottom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2" fillId="2" borderId="2" pivotButton="0" quotePrefix="0" xfId="0"/>
    <xf numFmtId="164" fontId="2" fillId="2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4" fillId="2" borderId="1" pivotButton="0" quotePrefix="0" xfId="0"/>
    <xf numFmtId="164" fontId="4" fillId="2" borderId="1" pivotButton="0" quotePrefix="0" xfId="0"/>
    <xf numFmtId="0" fontId="5" fillId="2" borderId="1" pivotButton="0" quotePrefix="0" xfId="0"/>
    <xf numFmtId="164" fontId="5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2" customWidth="1" min="4" max="4"/>
    <col width="15" customWidth="1" min="5" max="5"/>
  </cols>
  <sheetData>
    <row r="1" ht="30" customHeight="1">
      <c r="A1" s="1" t="inlineStr">
        <is>
          <t>DEVIS</t>
        </is>
      </c>
    </row>
    <row r="2">
      <c r="A2" s="2" t="inlineStr">
        <is>
          <t>TechSolutions</t>
        </is>
      </c>
      <c r="D2" s="2" t="inlineStr">
        <is>
          <t>CLIENT :</t>
        </is>
      </c>
      <c r="E2" t="inlineStr">
        <is>
          <t>[Nom client]</t>
        </is>
      </c>
    </row>
    <row r="3">
      <c r="A3" t="inlineStr">
        <is>
          <t>123 Avenue de l'Innovation</t>
        </is>
      </c>
      <c r="E3" t="inlineStr">
        <is>
          <t>[Adresse]</t>
        </is>
      </c>
    </row>
    <row r="4">
      <c r="A4" t="inlineStr">
        <is>
          <t>75001 Paris</t>
        </is>
      </c>
      <c r="E4" t="inlineStr">
        <is>
          <t>[Ville]</t>
        </is>
      </c>
    </row>
    <row r="5">
      <c r="A5" t="inlineStr">
        <is>
          <t>SIRET: 123 456 789 00012</t>
        </is>
      </c>
    </row>
    <row r="6">
      <c r="A6" t="inlineStr">
        <is>
          <t>RCS Paris B 123 456 789</t>
        </is>
      </c>
    </row>
    <row r="7">
      <c r="A7" s="2" t="inlineStr">
        <is>
          <t>Devis N° : DEV-2024-001</t>
        </is>
      </c>
      <c r="D7" s="2" t="inlineStr">
        <is>
          <t>Date : 09/12/2024</t>
        </is>
      </c>
    </row>
    <row r="8" ht="25" customHeight="1">
      <c r="A8" s="3" t="inlineStr">
        <is>
          <t>REF</t>
        </is>
      </c>
      <c r="B8" s="3" t="inlineStr">
        <is>
          <t>DÉSIGNATION</t>
        </is>
      </c>
      <c r="C8" s="3" t="inlineStr">
        <is>
          <t>QTÉ</t>
        </is>
      </c>
      <c r="D8" s="3" t="inlineStr">
        <is>
          <t>PUHT</t>
        </is>
      </c>
      <c r="E8" s="3" t="inlineStr">
        <is>
          <t>MONTANT</t>
        </is>
      </c>
    </row>
    <row r="9">
      <c r="A9" s="4" t="n"/>
      <c r="B9" s="5" t="n"/>
      <c r="C9" s="6" t="n"/>
      <c r="D9" s="7" t="n"/>
      <c r="E9" s="7">
        <f>IF(C9="","",C9*D9)</f>
        <v/>
      </c>
    </row>
    <row r="10">
      <c r="A10" s="4" t="n"/>
      <c r="B10" s="5" t="n"/>
      <c r="C10" s="6" t="n"/>
      <c r="D10" s="7" t="n"/>
      <c r="E10" s="7">
        <f>IF(C10="","",C10*D10)</f>
        <v/>
      </c>
    </row>
    <row r="11">
      <c r="A11" s="4" t="n"/>
      <c r="B11" s="5" t="n"/>
      <c r="C11" s="6" t="n"/>
      <c r="D11" s="7" t="n"/>
      <c r="E11" s="7">
        <f>IF(C11="","",C11*D11)</f>
        <v/>
      </c>
    </row>
    <row r="12">
      <c r="A12" s="4" t="n"/>
      <c r="B12" s="5" t="n"/>
      <c r="C12" s="6" t="n"/>
      <c r="D12" s="7" t="n"/>
      <c r="E12" s="7">
        <f>IF(C12="","",C12*D12)</f>
        <v/>
      </c>
    </row>
    <row r="13">
      <c r="A13" s="4" t="n"/>
      <c r="B13" s="5" t="n"/>
      <c r="C13" s="6" t="n"/>
      <c r="D13" s="7" t="n"/>
      <c r="E13" s="7">
        <f>IF(C13="","",C13*D13)</f>
        <v/>
      </c>
    </row>
    <row r="14">
      <c r="A14" s="4" t="n"/>
      <c r="B14" s="5" t="n"/>
      <c r="C14" s="6" t="n"/>
      <c r="D14" s="7" t="n"/>
      <c r="E14" s="7">
        <f>IF(C14="","",C14*D14)</f>
        <v/>
      </c>
    </row>
    <row r="15">
      <c r="A15" s="4" t="n"/>
      <c r="B15" s="5" t="n"/>
      <c r="C15" s="6" t="n"/>
      <c r="D15" s="7" t="n"/>
      <c r="E15" s="7">
        <f>IF(C15="","",C15*D15)</f>
        <v/>
      </c>
    </row>
    <row r="16">
      <c r="A16" s="4" t="n"/>
      <c r="B16" s="5" t="n"/>
      <c r="C16" s="6" t="n"/>
      <c r="D16" s="7" t="n"/>
      <c r="E16" s="7">
        <f>IF(C16="","",C16*D16)</f>
        <v/>
      </c>
    </row>
    <row r="17">
      <c r="A17" s="4" t="n"/>
      <c r="B17" s="5" t="n"/>
      <c r="C17" s="6" t="n"/>
      <c r="D17" s="7" t="n"/>
      <c r="E17" s="7">
        <f>IF(C17="","",C17*D17)</f>
        <v/>
      </c>
    </row>
    <row r="18">
      <c r="A18" s="4" t="n"/>
      <c r="B18" s="5" t="n"/>
      <c r="C18" s="6" t="n"/>
      <c r="D18" s="7" t="n"/>
      <c r="E18" s="7">
        <f>IF(C18="","",C18*D18)</f>
        <v/>
      </c>
    </row>
    <row r="19">
      <c r="A19" s="4" t="n"/>
      <c r="B19" s="5" t="n"/>
      <c r="C19" s="6" t="n"/>
      <c r="D19" s="7" t="n"/>
      <c r="E19" s="7">
        <f>IF(C19="","",C19*D19)</f>
        <v/>
      </c>
    </row>
    <row r="20">
      <c r="A20" s="4" t="n"/>
      <c r="B20" s="5" t="n"/>
      <c r="C20" s="6" t="n"/>
      <c r="D20" s="7" t="n"/>
      <c r="E20" s="7">
        <f>IF(C20="","",C20*D20)</f>
        <v/>
      </c>
    </row>
    <row r="21">
      <c r="A21" s="4" t="n"/>
      <c r="B21" s="5" t="n"/>
      <c r="C21" s="6" t="n"/>
      <c r="D21" s="7" t="n"/>
      <c r="E21" s="7">
        <f>IF(C21="","",C21*D21)</f>
        <v/>
      </c>
    </row>
    <row r="22">
      <c r="A22" s="4" t="n"/>
      <c r="B22" s="5" t="n"/>
      <c r="C22" s="6" t="n"/>
      <c r="D22" s="7" t="n"/>
      <c r="E22" s="7">
        <f>IF(C22="","",C22*D22)</f>
        <v/>
      </c>
    </row>
    <row r="23">
      <c r="A23" s="4" t="n"/>
      <c r="B23" s="5" t="n"/>
      <c r="C23" s="6" t="n"/>
      <c r="D23" s="7" t="n"/>
      <c r="E23" s="7">
        <f>IF(C23="","",C23*D23)</f>
        <v/>
      </c>
    </row>
    <row r="24">
      <c r="A24" s="4" t="n"/>
      <c r="B24" s="5" t="n"/>
      <c r="C24" s="6" t="n"/>
      <c r="D24" s="7" t="n"/>
      <c r="E24" s="7">
        <f>IF(C24="","",C24*D24)</f>
        <v/>
      </c>
    </row>
    <row r="25">
      <c r="A25" s="4" t="n"/>
      <c r="B25" s="5" t="n"/>
      <c r="C25" s="6" t="n"/>
      <c r="D25" s="7" t="n"/>
      <c r="E25" s="7">
        <f>IF(C25="","",C25*D25)</f>
        <v/>
      </c>
    </row>
    <row r="26">
      <c r="A26" s="4" t="n"/>
      <c r="B26" s="5" t="n"/>
      <c r="C26" s="6" t="n"/>
      <c r="D26" s="7" t="n"/>
      <c r="E26" s="7">
        <f>IF(C26="","",C26*D26)</f>
        <v/>
      </c>
    </row>
    <row r="27">
      <c r="A27" s="4" t="n"/>
      <c r="B27" s="5" t="n"/>
      <c r="C27" s="6" t="n"/>
      <c r="D27" s="7" t="n"/>
      <c r="E27" s="7">
        <f>IF(C27="","",C27*D27)</f>
        <v/>
      </c>
    </row>
    <row r="28">
      <c r="A28" s="4" t="n"/>
      <c r="B28" s="5" t="n"/>
      <c r="C28" s="6" t="n"/>
      <c r="D28" s="7" t="n"/>
      <c r="E28" s="7">
        <f>IF(C28="","",C28*D28)</f>
        <v/>
      </c>
    </row>
    <row r="29">
      <c r="A29" s="4" t="n"/>
      <c r="B29" s="5" t="n"/>
      <c r="C29" s="6" t="n"/>
      <c r="D29" s="7" t="n"/>
      <c r="E29" s="7">
        <f>IF(C29="","",C29*D29)</f>
        <v/>
      </c>
    </row>
    <row r="30">
      <c r="A30" s="4" t="n"/>
      <c r="B30" s="5" t="n"/>
      <c r="C30" s="6" t="n"/>
      <c r="D30" s="7" t="n"/>
      <c r="E30" s="7">
        <f>IF(C30="","",C30*D30)</f>
        <v/>
      </c>
    </row>
    <row r="31">
      <c r="A31" s="4" t="n"/>
      <c r="B31" s="5" t="n"/>
      <c r="C31" s="6" t="n"/>
      <c r="D31" s="7" t="n"/>
      <c r="E31" s="7">
        <f>IF(C31="","",C31*D31)</f>
        <v/>
      </c>
    </row>
    <row r="32">
      <c r="A32" s="4" t="n"/>
      <c r="B32" s="5" t="n"/>
      <c r="C32" s="6" t="n"/>
      <c r="D32" s="7" t="n"/>
      <c r="E32" s="7">
        <f>IF(C32="","",C32*D32)</f>
        <v/>
      </c>
    </row>
    <row r="33">
      <c r="A33" s="4" t="n"/>
      <c r="B33" s="5" t="n"/>
      <c r="C33" s="6" t="n"/>
      <c r="D33" s="7" t="n"/>
      <c r="E33" s="7">
        <f>IF(C33="","",C33*D33)</f>
        <v/>
      </c>
    </row>
    <row r="34">
      <c r="A34" s="4" t="n"/>
      <c r="B34" s="5" t="n"/>
      <c r="C34" s="6" t="n"/>
      <c r="D34" s="7" t="n"/>
      <c r="E34" s="7">
        <f>IF(C34="","",C34*D34)</f>
        <v/>
      </c>
    </row>
    <row r="35">
      <c r="A35" s="4" t="n"/>
      <c r="B35" s="5" t="n"/>
      <c r="C35" s="6" t="n"/>
      <c r="D35" s="7" t="n"/>
      <c r="E35" s="7">
        <f>IF(C35="","",C35*D35)</f>
        <v/>
      </c>
    </row>
    <row r="36">
      <c r="A36" s="4" t="n"/>
      <c r="B36" s="5" t="n"/>
      <c r="C36" s="6" t="n"/>
      <c r="D36" s="7" t="n"/>
      <c r="E36" s="7">
        <f>IF(C36="","",C36*D36)</f>
        <v/>
      </c>
    </row>
    <row r="37">
      <c r="A37" s="4" t="n"/>
      <c r="B37" s="5" t="n"/>
      <c r="C37" s="6" t="n"/>
      <c r="D37" s="7" t="n"/>
      <c r="E37" s="7">
        <f>IF(C37="","",C37*D37)</f>
        <v/>
      </c>
    </row>
    <row r="38">
      <c r="A38" s="4" t="n"/>
      <c r="B38" s="5" t="n"/>
      <c r="C38" s="6" t="n"/>
      <c r="D38" s="7" t="n"/>
      <c r="E38" s="7">
        <f>IF(C38="","",C38*D38)</f>
        <v/>
      </c>
    </row>
    <row r="40">
      <c r="D40" s="8" t="inlineStr">
        <is>
          <t>Total Net</t>
        </is>
      </c>
      <c r="E40" s="9">
        <f>SUM(E9:E38)</f>
        <v/>
      </c>
    </row>
    <row r="41">
      <c r="D41" s="10" t="inlineStr">
        <is>
          <t>Remise 10%</t>
        </is>
      </c>
      <c r="E41" s="11">
        <f>E40*0.1</f>
        <v/>
      </c>
    </row>
    <row r="42">
      <c r="D42" s="8" t="inlineStr">
        <is>
          <t>Total remisé</t>
        </is>
      </c>
      <c r="E42" s="9">
        <f>E40-E41</f>
        <v/>
      </c>
    </row>
    <row r="43">
      <c r="D43" s="10" t="inlineStr">
        <is>
          <t>Port</t>
        </is>
      </c>
      <c r="E43" s="11" t="n">
        <v>0</v>
      </c>
    </row>
    <row r="44">
      <c r="D44" s="12" t="inlineStr">
        <is>
          <t>Montant Total HT</t>
        </is>
      </c>
      <c r="E44" s="13">
        <f>E42+E43</f>
        <v/>
      </c>
    </row>
    <row r="45">
      <c r="D45" s="10" t="inlineStr">
        <is>
          <t>TVA 20%</t>
        </is>
      </c>
      <c r="E45" s="11">
        <f>E44*0.2</f>
        <v/>
      </c>
    </row>
    <row r="46">
      <c r="D46" s="14" t="inlineStr">
        <is>
          <t>NET À PAYER TTC</t>
        </is>
      </c>
      <c r="E46" s="15">
        <f>E44+E45</f>
        <v/>
      </c>
    </row>
    <row r="48">
      <c r="A48" s="16" t="inlineStr">
        <is>
          <t>CONDITIONS DE RÈGLEMENT :</t>
        </is>
      </c>
    </row>
    <row r="49">
      <c r="A49" t="inlineStr">
        <is>
          <t>• Acompte de 30% à la commande</t>
        </is>
      </c>
    </row>
    <row r="50">
      <c r="A50" t="inlineStr">
        <is>
          <t>• Solde à 30 jours fin de mois</t>
        </is>
      </c>
    </row>
    <row r="51">
      <c r="A51" t="inlineStr">
        <is>
          <t>• Escompte 2% pour paiement anticipé</t>
        </is>
      </c>
    </row>
    <row r="52">
      <c r="A52" t="inlineStr"/>
    </row>
    <row r="53">
      <c r="A53" s="16" t="inlineStr">
        <is>
          <t>GARANTIES :</t>
        </is>
      </c>
    </row>
    <row r="54">
      <c r="A54" t="inlineStr">
        <is>
          <t>• Matériel : 2 ans constructeur</t>
        </is>
      </c>
    </row>
    <row r="55">
      <c r="A55" t="inlineStr">
        <is>
          <t>• Installation : 1 an garantie TechSolutions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2025-12-09T15:47:10Z</dcterms:created>
  <dcterms:modified xmlns:dcterms="http://purl.org/dc/terms/" xmlns:xsi="http://www.w3.org/2001/XMLSchema-instance" xsi:type="dcterms:W3CDTF">2025-12-09T15:47:10Z</dcterms:modified>
</cp:coreProperties>
</file>