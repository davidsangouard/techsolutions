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10">
    <font>
      <name val="Calibri"/>
      <family val="2"/>
      <color theme="1"/>
      <sz val="11"/>
      <scheme val="minor"/>
    </font>
    <font>
      <b val="1"/>
      <color rgb="00CC0000"/>
      <sz val="16"/>
    </font>
    <font>
      <b val="1"/>
      <sz val="12"/>
    </font>
    <font>
      <b val="1"/>
      <sz val="11"/>
    </font>
    <font>
      <b val="1"/>
      <color rgb="00FFFFFF"/>
      <sz val="11"/>
    </font>
    <font>
      <b val="1"/>
      <color rgb="00CC0000"/>
      <sz val="12"/>
    </font>
    <font>
      <b val="1"/>
      <color rgb="00CC0000"/>
      <sz val="11"/>
    </font>
    <font>
      <b val="1"/>
      <sz val="10"/>
    </font>
    <font>
      <i val="1"/>
      <color rgb="000066CC"/>
      <sz val="9"/>
    </font>
    <font>
      <color rgb="00666666"/>
      <sz val="8"/>
    </font>
  </fonts>
  <fills count="4">
    <fill>
      <patternFill/>
    </fill>
    <fill>
      <patternFill patternType="gray125"/>
    </fill>
    <fill>
      <patternFill patternType="solid">
        <fgColor rgb="00FFE6E6"/>
        <bgColor rgb="00FFE6E6"/>
      </patternFill>
    </fill>
    <fill>
      <patternFill patternType="solid">
        <fgColor rgb="00CC0000"/>
        <bgColor rgb="00CC0000"/>
      </patternFill>
    </fill>
  </fills>
  <borders count="3">
    <border>
      <left/>
      <right/>
      <top/>
      <bottom/>
      <diagonal/>
    </border>
    <border>
      <left style="medium">
        <color rgb="00CC0000"/>
      </left>
      <right style="medium">
        <color rgb="00CC0000"/>
      </right>
      <top style="medium">
        <color rgb="00CC0000"/>
      </top>
      <bottom style="medium">
        <color rgb="00CC0000"/>
      </bottom>
    </border>
    <border>
      <left style="thin">
        <color rgb="00CC0000"/>
      </left>
      <right style="thin">
        <color rgb="00CC0000"/>
      </right>
      <top style="thin">
        <color rgb="00CC0000"/>
      </top>
      <bottom style="thin">
        <color rgb="00CC000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left" vertical="center"/>
    </xf>
    <xf numFmtId="0" fontId="0" fillId="0" borderId="2" applyAlignment="1" pivotButton="0" quotePrefix="0" xfId="0">
      <alignment horizontal="left" vertical="center" wrapText="1"/>
    </xf>
    <xf numFmtId="1" fontId="0" fillId="0" borderId="2" applyAlignment="1" pivotButton="0" quotePrefix="0" xfId="0">
      <alignment horizontal="center" vertical="center"/>
    </xf>
    <xf numFmtId="164" fontId="0" fillId="0" borderId="2" applyAlignment="1" pivotButton="0" quotePrefix="0" xfId="0">
      <alignment horizontal="right" vertical="center"/>
    </xf>
    <xf numFmtId="0" fontId="3" fillId="2" borderId="1" applyAlignment="1" pivotButton="0" quotePrefix="0" xfId="0">
      <alignment horizontal="left" vertical="center"/>
    </xf>
    <xf numFmtId="164" fontId="3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left" vertical="center"/>
    </xf>
    <xf numFmtId="164" fontId="5" fillId="2" borderId="1" applyAlignment="1" pivotButton="0" quotePrefix="0" xfId="0">
      <alignment horizontal="right" vertical="center"/>
    </xf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1"/>
  <sheetViews>
    <sheetView workbookViewId="0">
      <selection activeCell="A1" sqref="A1"/>
    </sheetView>
  </sheetViews>
  <sheetFormatPr baseColWidth="8" defaultRowHeight="15"/>
  <cols>
    <col width="15" customWidth="1" min="1" max="1"/>
    <col width="50" customWidth="1" min="2" max="2"/>
    <col width="8" customWidth="1" min="3" max="3"/>
    <col width="12" customWidth="1" min="4" max="4"/>
    <col width="15" customWidth="1" min="5" max="5"/>
  </cols>
  <sheetData>
    <row r="1" ht="30" customHeight="1">
      <c r="A1" s="1" t="inlineStr">
        <is>
          <t>DEVIS</t>
        </is>
      </c>
    </row>
    <row r="2">
      <c r="A2" s="2" t="inlineStr">
        <is>
          <t>TechSolutions</t>
        </is>
      </c>
      <c r="D2" s="3" t="inlineStr">
        <is>
          <t>CLIENT :</t>
        </is>
      </c>
      <c r="E2" t="inlineStr">
        <is>
          <t>[Nom client]</t>
        </is>
      </c>
    </row>
    <row r="3">
      <c r="A3" t="inlineStr">
        <is>
          <t>[Votre Adresse]</t>
        </is>
      </c>
      <c r="E3" t="inlineStr">
        <is>
          <t>[Adresse client]</t>
        </is>
      </c>
    </row>
    <row r="4">
      <c r="A4" t="inlineStr">
        <is>
          <t>[Code Postal Ville]</t>
        </is>
      </c>
      <c r="E4" t="inlineStr">
        <is>
          <t>[Ville client]</t>
        </is>
      </c>
    </row>
    <row r="5">
      <c r="A5" t="inlineStr">
        <is>
          <t>SIRET: [Votre SIRET]</t>
        </is>
      </c>
    </row>
    <row r="6">
      <c r="A6" t="inlineStr">
        <is>
          <t>RCS: [Votre RCS]</t>
        </is>
      </c>
    </row>
    <row r="8">
      <c r="A8" s="3" t="inlineStr">
        <is>
          <t>Devis N° : DEV-2024-001</t>
        </is>
      </c>
      <c r="D8" s="3" t="inlineStr">
        <is>
          <t>Date : 10/12/2024</t>
        </is>
      </c>
    </row>
    <row r="9" ht="25" customHeight="1">
      <c r="A9" s="4" t="inlineStr">
        <is>
          <t>REF</t>
        </is>
      </c>
      <c r="B9" s="4" t="inlineStr">
        <is>
          <t>DÉSIGNATION</t>
        </is>
      </c>
      <c r="C9" s="4" t="inlineStr">
        <is>
          <t>QTÉ</t>
        </is>
      </c>
      <c r="D9" s="4" t="inlineStr">
        <is>
          <t>PUHT</t>
        </is>
      </c>
      <c r="E9" s="4" t="inlineStr">
        <is>
          <t>MONTANT</t>
        </is>
      </c>
    </row>
    <row r="10">
      <c r="A10" s="5" t="n"/>
      <c r="B10" s="6" t="n"/>
      <c r="C10" s="7" t="n"/>
      <c r="D10" s="8" t="n"/>
      <c r="E10" s="8">
        <f>IF(C10="","",C10*D10)</f>
        <v/>
      </c>
    </row>
    <row r="11">
      <c r="A11" s="5" t="n"/>
      <c r="B11" s="6" t="n"/>
      <c r="C11" s="7" t="n"/>
      <c r="D11" s="8" t="n"/>
      <c r="E11" s="8">
        <f>IF(C11="","",C11*D11)</f>
        <v/>
      </c>
    </row>
    <row r="12">
      <c r="A12" s="5" t="n"/>
      <c r="B12" s="6" t="n"/>
      <c r="C12" s="7" t="n"/>
      <c r="D12" s="8" t="n"/>
      <c r="E12" s="8">
        <f>IF(C12="","",C12*D12)</f>
        <v/>
      </c>
    </row>
    <row r="13">
      <c r="A13" s="5" t="n"/>
      <c r="B13" s="6" t="n"/>
      <c r="C13" s="7" t="n"/>
      <c r="D13" s="8" t="n"/>
      <c r="E13" s="8">
        <f>IF(C13="","",C13*D13)</f>
        <v/>
      </c>
    </row>
    <row r="14">
      <c r="A14" s="5" t="n"/>
      <c r="B14" s="6" t="n"/>
      <c r="C14" s="7" t="n"/>
      <c r="D14" s="8" t="n"/>
      <c r="E14" s="8">
        <f>IF(C14="","",C14*D14)</f>
        <v/>
      </c>
    </row>
    <row r="15">
      <c r="A15" s="5" t="n"/>
      <c r="B15" s="6" t="n"/>
      <c r="C15" s="7" t="n"/>
      <c r="D15" s="8" t="n"/>
      <c r="E15" s="8">
        <f>IF(C15="","",C15*D15)</f>
        <v/>
      </c>
    </row>
    <row r="16">
      <c r="A16" s="5" t="n"/>
      <c r="B16" s="6" t="n"/>
      <c r="C16" s="7" t="n"/>
      <c r="D16" s="8" t="n"/>
      <c r="E16" s="8">
        <f>IF(C16="","",C16*D16)</f>
        <v/>
      </c>
    </row>
    <row r="17">
      <c r="A17" s="5" t="n"/>
      <c r="B17" s="6" t="n"/>
      <c r="C17" s="7" t="n"/>
      <c r="D17" s="8" t="n"/>
      <c r="E17" s="8">
        <f>IF(C17="","",C17*D17)</f>
        <v/>
      </c>
    </row>
    <row r="18">
      <c r="A18" s="5" t="n"/>
      <c r="B18" s="6" t="n"/>
      <c r="C18" s="7" t="n"/>
      <c r="D18" s="8" t="n"/>
      <c r="E18" s="8">
        <f>IF(C18="","",C18*D18)</f>
        <v/>
      </c>
    </row>
    <row r="19">
      <c r="A19" s="5" t="n"/>
      <c r="B19" s="6" t="n"/>
      <c r="C19" s="7" t="n"/>
      <c r="D19" s="8" t="n"/>
      <c r="E19" s="8">
        <f>IF(C19="","",C19*D19)</f>
        <v/>
      </c>
    </row>
    <row r="20">
      <c r="A20" s="5" t="n"/>
      <c r="B20" s="6" t="n"/>
      <c r="C20" s="7" t="n"/>
      <c r="D20" s="8" t="n"/>
      <c r="E20" s="8">
        <f>IF(C20="","",C20*D20)</f>
        <v/>
      </c>
    </row>
    <row r="21">
      <c r="A21" s="5" t="n"/>
      <c r="B21" s="6" t="n"/>
      <c r="C21" s="7" t="n"/>
      <c r="D21" s="8" t="n"/>
      <c r="E21" s="8">
        <f>IF(C21="","",C21*D21)</f>
        <v/>
      </c>
    </row>
    <row r="22">
      <c r="A22" s="5" t="n"/>
      <c r="B22" s="6" t="n"/>
      <c r="C22" s="7" t="n"/>
      <c r="D22" s="8" t="n"/>
      <c r="E22" s="8">
        <f>IF(C22="","",C22*D22)</f>
        <v/>
      </c>
    </row>
    <row r="23">
      <c r="A23" s="5" t="n"/>
      <c r="B23" s="6" t="n"/>
      <c r="C23" s="7" t="n"/>
      <c r="D23" s="8" t="n"/>
      <c r="E23" s="8">
        <f>IF(C23="","",C23*D23)</f>
        <v/>
      </c>
    </row>
    <row r="24">
      <c r="A24" s="5" t="n"/>
      <c r="B24" s="6" t="n"/>
      <c r="C24" s="7" t="n"/>
      <c r="D24" s="8" t="n"/>
      <c r="E24" s="8">
        <f>IF(C24="","",C24*D24)</f>
        <v/>
      </c>
    </row>
    <row r="25">
      <c r="A25" s="5" t="n"/>
      <c r="B25" s="6" t="n"/>
      <c r="C25" s="7" t="n"/>
      <c r="D25" s="8" t="n"/>
      <c r="E25" s="8">
        <f>IF(C25="","",C25*D25)</f>
        <v/>
      </c>
    </row>
    <row r="26">
      <c r="A26" s="5" t="n"/>
      <c r="B26" s="6" t="n"/>
      <c r="C26" s="7" t="n"/>
      <c r="D26" s="8" t="n"/>
      <c r="E26" s="8">
        <f>IF(C26="","",C26*D26)</f>
        <v/>
      </c>
    </row>
    <row r="27">
      <c r="A27" s="5" t="n"/>
      <c r="B27" s="6" t="n"/>
      <c r="C27" s="7" t="n"/>
      <c r="D27" s="8" t="n"/>
      <c r="E27" s="8">
        <f>IF(C27="","",C27*D27)</f>
        <v/>
      </c>
    </row>
    <row r="28">
      <c r="A28" s="5" t="n"/>
      <c r="B28" s="6" t="n"/>
      <c r="C28" s="7" t="n"/>
      <c r="D28" s="8" t="n"/>
      <c r="E28" s="8">
        <f>IF(C28="","",C28*D28)</f>
        <v/>
      </c>
    </row>
    <row r="29">
      <c r="A29" s="5" t="n"/>
      <c r="B29" s="6" t="n"/>
      <c r="C29" s="7" t="n"/>
      <c r="D29" s="8" t="n"/>
      <c r="E29" s="8">
        <f>IF(C29="","",C29*D29)</f>
        <v/>
      </c>
    </row>
    <row r="30">
      <c r="A30" s="5" t="n"/>
      <c r="B30" s="6" t="n"/>
      <c r="C30" s="7" t="n"/>
      <c r="D30" s="8" t="n"/>
      <c r="E30" s="8">
        <f>IF(C30="","",C30*D30)</f>
        <v/>
      </c>
    </row>
    <row r="31">
      <c r="A31" s="5" t="n"/>
      <c r="B31" s="6" t="n"/>
      <c r="C31" s="7" t="n"/>
      <c r="D31" s="8" t="n"/>
      <c r="E31" s="8">
        <f>IF(C31="","",C31*D31)</f>
        <v/>
      </c>
    </row>
    <row r="32">
      <c r="A32" s="5" t="n"/>
      <c r="B32" s="6" t="n"/>
      <c r="C32" s="7" t="n"/>
      <c r="D32" s="8" t="n"/>
      <c r="E32" s="8">
        <f>IF(C32="","",C32*D32)</f>
        <v/>
      </c>
    </row>
    <row r="33">
      <c r="A33" s="5" t="n"/>
      <c r="B33" s="6" t="n"/>
      <c r="C33" s="7" t="n"/>
      <c r="D33" s="8" t="n"/>
      <c r="E33" s="8">
        <f>IF(C33="","",C33*D33)</f>
        <v/>
      </c>
    </row>
    <row r="34">
      <c r="A34" s="5" t="n"/>
      <c r="B34" s="6" t="n"/>
      <c r="C34" s="7" t="n"/>
      <c r="D34" s="8" t="n"/>
      <c r="E34" s="8">
        <f>IF(C34="","",C34*D34)</f>
        <v/>
      </c>
    </row>
    <row r="35">
      <c r="A35" s="5" t="n"/>
      <c r="B35" s="6" t="n"/>
      <c r="C35" s="7" t="n"/>
      <c r="D35" s="8" t="n"/>
      <c r="E35" s="8">
        <f>IF(C35="","",C35*D35)</f>
        <v/>
      </c>
    </row>
    <row r="36">
      <c r="A36" s="5" t="n"/>
      <c r="B36" s="6" t="n"/>
      <c r="C36" s="7" t="n"/>
      <c r="D36" s="8" t="n"/>
      <c r="E36" s="8">
        <f>IF(C36="","",C36*D36)</f>
        <v/>
      </c>
    </row>
    <row r="37">
      <c r="A37" s="5" t="n"/>
      <c r="B37" s="6" t="n"/>
      <c r="C37" s="7" t="n"/>
      <c r="D37" s="8" t="n"/>
      <c r="E37" s="8">
        <f>IF(C37="","",C37*D37)</f>
        <v/>
      </c>
    </row>
    <row r="38">
      <c r="A38" s="5" t="n"/>
      <c r="B38" s="6" t="n"/>
      <c r="C38" s="7" t="n"/>
      <c r="D38" s="8" t="n"/>
      <c r="E38" s="8">
        <f>IF(C38="","",C38*D38)</f>
        <v/>
      </c>
    </row>
    <row r="39">
      <c r="A39" s="5" t="n"/>
      <c r="B39" s="6" t="n"/>
      <c r="C39" s="7" t="n"/>
      <c r="D39" s="8" t="n"/>
      <c r="E39" s="8">
        <f>IF(C39="","",C39*D39)</f>
        <v/>
      </c>
    </row>
    <row r="41">
      <c r="D41" s="9" t="inlineStr">
        <is>
          <t>Montant Total HT</t>
        </is>
      </c>
      <c r="E41" s="10">
        <f>SUM(E10:E39)</f>
        <v/>
      </c>
    </row>
    <row r="42">
      <c r="D42" s="9" t="inlineStr">
        <is>
          <t>TVA 20%</t>
        </is>
      </c>
      <c r="E42" s="10">
        <f>E41*0.2</f>
        <v/>
      </c>
    </row>
    <row r="43">
      <c r="D43" s="11" t="inlineStr">
        <is>
          <t>NET À PAYER TTC</t>
        </is>
      </c>
      <c r="E43" s="12">
        <f>E41+E42</f>
        <v/>
      </c>
    </row>
    <row r="45">
      <c r="A45" s="13" t="inlineStr">
        <is>
          <t>MENTIONS LÉGALES</t>
        </is>
      </c>
    </row>
    <row r="47">
      <c r="A47" s="14" t="inlineStr">
        <is>
          <t>CONDITIONS DE RÈGLEMENT :</t>
        </is>
      </c>
    </row>
    <row r="48">
      <c r="A48" t="inlineStr">
        <is>
          <t>• Acompte de 30% à la commande</t>
        </is>
      </c>
    </row>
    <row r="49">
      <c r="A49" t="inlineStr">
        <is>
          <t>• Solde à 30 jours fin de mois</t>
        </is>
      </c>
    </row>
    <row r="50">
      <c r="A50" t="inlineStr">
        <is>
          <t>• Paiement par virement, chèque ou carte bancaire</t>
        </is>
      </c>
    </row>
    <row r="51">
      <c r="A51" t="inlineStr">
        <is>
          <t>• Escompte 2% pour paiement comptant</t>
        </is>
      </c>
    </row>
    <row r="53">
      <c r="A53" s="14" t="inlineStr">
        <is>
          <t>GARANTIES &amp; MENTIONS :</t>
        </is>
      </c>
    </row>
    <row r="54">
      <c r="A54" t="inlineStr">
        <is>
          <t>• Matériel garanti 2 ans constructeur</t>
        </is>
      </c>
    </row>
    <row r="55">
      <c r="A55" t="inlineStr">
        <is>
          <t>• Prestations garanties 1 an</t>
        </is>
      </c>
    </row>
    <row r="56">
      <c r="A56" t="inlineStr">
        <is>
          <t>• Devis valable 30 jours</t>
        </is>
      </c>
    </row>
    <row r="57">
      <c r="A57" t="inlineStr">
        <is>
          <t>• Conformément à la loi, ce devis est gratuit et ne vous engage en rien</t>
        </is>
      </c>
    </row>
    <row r="59">
      <c r="A59" t="inlineStr">
        <is>
          <t>━━━━━━━━━━━━━━━━━━━━━━━━━━━━━━━━━━━━━━━━━━━━━━━━━━━━━━━━━━━━━━━━━━━━━━━━━━━━━━━━</t>
        </is>
      </c>
    </row>
    <row r="60">
      <c r="A60" s="15" t="inlineStr">
        <is>
          <t>Document créé par LUMNI - Digital Solutions Provider</t>
        </is>
      </c>
    </row>
    <row r="61">
      <c r="A61" s="16" t="inlineStr">
        <is>
          <t>Site web et outils développés par Lumni pour TechSolutions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2025-12-10T13:21:02Z</dcterms:created>
  <dcterms:modified xmlns:dcterms="http://purl.org/dc/terms/" xmlns:xsi="http://www.w3.org/2001/XMLSchema-instance" xsi:type="dcterms:W3CDTF">2025-12-10T13:21:02Z</dcterms:modified>
</cp:coreProperties>
</file>